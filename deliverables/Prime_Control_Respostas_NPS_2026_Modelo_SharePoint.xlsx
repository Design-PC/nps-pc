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executivo" sheetId="1" state="visible" r:id="rId1"/>
    <sheet xmlns:r="http://schemas.openxmlformats.org/officeDocument/2006/relationships" name="Base automática" sheetId="2" state="visible" r:id="rId2"/>
    <sheet xmlns:r="http://schemas.openxmlformats.org/officeDocument/2006/relationships" name="Configurações" sheetId="3" state="visible" r:id="rId3"/>
    <sheet xmlns:r="http://schemas.openxmlformats.org/officeDocument/2006/relationships" name="Dicionário" sheetId="4" state="visible" r:id="rId4"/>
  </sheets>
  <definedNames>
    <definedName name="_xlnm._FilterDatabase" localSheetId="1" hidden="1">'Base automática'!$A$1:$AS$1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0E243D"/>
      <sz val="24"/>
    </font>
    <font>
      <name val="Calibri"/>
      <color rgb="0052616F"/>
      <sz val="11"/>
    </font>
    <font>
      <name val="Calibri"/>
      <b val="1"/>
      <color rgb="00003F7D"/>
      <sz val="10"/>
    </font>
    <font>
      <name val="Calibri"/>
      <b val="1"/>
      <color rgb="000E243D"/>
      <sz val="22"/>
    </font>
    <font>
      <name val="Calibri"/>
      <b val="1"/>
      <color rgb="00FFFFFF"/>
      <sz val="12"/>
    </font>
    <font>
      <name val="Calibri"/>
      <color rgb="00172B4D"/>
      <sz val="10"/>
    </font>
    <font>
      <name val="Calibri"/>
      <b val="1"/>
      <color rgb="000E243D"/>
      <sz val="20"/>
    </font>
  </fonts>
  <fills count="5">
    <fill>
      <patternFill/>
    </fill>
    <fill>
      <patternFill patternType="gray125"/>
    </fill>
    <fill>
      <patternFill patternType="solid">
        <fgColor rgb="00003F7D"/>
      </patternFill>
    </fill>
    <fill>
      <patternFill patternType="solid">
        <fgColor rgb="00EAF3FB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bottom style="thin">
        <color rgb="00FF7A21"/>
      </bottom>
    </border>
    <border>
      <left style="thin">
        <color rgb="00D9E2EA"/>
      </left>
      <right style="thin">
        <color rgb="00D9E2EA"/>
      </right>
      <top style="thin">
        <color rgb="00D9E2EA"/>
      </top>
      <bottom style="thin">
        <color rgb="00D9E2E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pivotButton="0" quotePrefix="0" xfId="0"/>
    <xf numFmtId="0" fontId="4" fillId="3" borderId="0" pivotButton="0" quotePrefix="0" xfId="0"/>
    <xf numFmtId="0" fontId="5" fillId="4" borderId="0" applyAlignment="1" pivotButton="0" quotePrefix="0" xfId="0">
      <alignment horizontal="left" vertical="center"/>
    </xf>
    <xf numFmtId="9" fontId="5" fillId="4" borderId="0" applyAlignment="1" pivotButton="0" quotePrefix="0" xfId="0">
      <alignment horizontal="left" vertical="center"/>
    </xf>
    <xf numFmtId="164" fontId="5" fillId="4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 vertical="center"/>
    </xf>
    <xf numFmtId="0" fontId="1" fillId="2" borderId="2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7" fillId="0" borderId="2" applyAlignment="1" pivotButton="0" quotePrefix="0" xfId="0">
      <alignment vertical="center" wrapText="1"/>
    </xf>
    <xf numFmtId="9" fontId="7" fillId="0" borderId="2" applyAlignment="1" pivotButton="0" quotePrefix="0" xfId="0">
      <alignment vertical="center" wrapText="1"/>
    </xf>
    <xf numFmtId="0" fontId="7" fillId="0" borderId="0" applyAlignment="1" pivotButton="0" quotePrefix="0" xfId="0">
      <alignment wrapText="1"/>
    </xf>
    <xf numFmtId="0" fontId="8" fillId="0" borderId="0" applyAlignment="1" pivotButton="0" quotePrefix="0" xfId="0">
      <alignment vertical="center"/>
    </xf>
  </cellXfs>
  <cellStyles count="1">
    <cellStyle name="Normal" xfId="0" builtinId="0" hidden="0"/>
  </cellStyles>
  <dxfs count="3">
    <dxf>
      <fill>
        <patternFill patternType="solid">
          <fgColor rgb="00FDE2E1"/>
        </patternFill>
      </fill>
    </dxf>
    <dxf>
      <fill>
        <patternFill patternType="solid">
          <fgColor rgb="00FFF3CD"/>
        </patternFill>
      </fill>
    </dxf>
    <dxf>
      <fill>
        <patternFill patternType="solid">
          <fgColor rgb="00D8F3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Distribuição NPS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'Resumo executivo'!C12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'Resumo executivo'!$A$13:$A$15</f>
            </numRef>
          </cat>
          <val>
            <numRef>
              <f>'Resumo executivo'!$C$13:$C$15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Grupo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Quantidade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26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6" customWidth="1" min="3" max="3"/>
    <col width="14" customWidth="1" min="4" max="4"/>
    <col width="4" customWidth="1" min="5" max="5"/>
    <col width="32" customWidth="1" min="6" max="6"/>
    <col width="14" customWidth="1" min="7" max="7"/>
    <col width="14" customWidth="1" min="8" max="8"/>
  </cols>
  <sheetData>
    <row r="1" ht="24" customHeight="1">
      <c r="A1" s="1" t="inlineStr">
        <is>
          <t>Prime Control | Respostas NPS 2026</t>
        </is>
      </c>
    </row>
    <row r="2" ht="24" customHeight="1">
      <c r="A2" s="2" t="inlineStr">
        <is>
          <t>Resumo executivo conectado à aba Base automática. A plataforma deve atualizar somente a base; análises e fórmulas permanecem preservadas.</t>
        </is>
      </c>
    </row>
    <row r="3" ht="24" customHeight="1"/>
    <row r="4" ht="24" customHeight="1">
      <c r="A4" s="3" t="inlineStr">
        <is>
          <t>Total respostas</t>
        </is>
      </c>
      <c r="D4" s="3" t="inlineStr">
        <is>
          <t>Concluídas</t>
        </is>
      </c>
      <c r="G4" s="3" t="inlineStr">
        <is>
          <t>Taxa conclusão</t>
        </is>
      </c>
    </row>
    <row r="5" ht="24" customHeight="1">
      <c r="A5" s="4">
        <f>COUNTA('Base automática'!A2:A5000)</f>
        <v/>
      </c>
      <c r="D5" s="4">
        <f>COUNTIF('Base automática'!D:D,"Concluído")</f>
        <v/>
      </c>
      <c r="G5" s="5">
        <f>IFERROR(C5/C4,0)</f>
        <v/>
      </c>
    </row>
    <row r="6" ht="24" customHeight="1"/>
    <row r="7" ht="24" customHeight="1">
      <c r="A7" s="3" t="inlineStr">
        <is>
          <t>NPS final</t>
        </is>
      </c>
      <c r="D7" s="3" t="inlineStr">
        <is>
          <t>Média nota NPS</t>
        </is>
      </c>
      <c r="G7" s="3" t="inlineStr">
        <is>
          <t>Clientes de risco</t>
        </is>
      </c>
    </row>
    <row r="8" ht="24" customHeight="1">
      <c r="A8" s="6">
        <f>IF(C4=0,"",ROUND(((COUNTIFS('Base automática'!Q:Q,"&gt;=9")-COUNTIFS('Base automática'!Q:Q,"&lt;=6"))/COUNT('Base automática'!Q:Q))*100,0))</f>
        <v/>
      </c>
      <c r="D8" s="4">
        <f>IFERROR(AVERAGE('Base automática'!Q:Q),"")</f>
        <v/>
      </c>
      <c r="G8" s="4">
        <f>COUNTIF('Base automática'!AL:AL,"Alto")</f>
        <v/>
      </c>
    </row>
    <row r="9" ht="24" customHeight="1"/>
    <row r="10" ht="24" customHeight="1"/>
    <row r="11" ht="24" customHeight="1">
      <c r="A11" s="7" t="inlineStr">
        <is>
          <t>Distribuição NPS oficial</t>
        </is>
      </c>
      <c r="F11" s="7" t="inlineStr">
        <is>
          <t>Leitura temática | 25% por bloco</t>
        </is>
      </c>
    </row>
    <row r="12" ht="24" customHeight="1">
      <c r="A12" s="8" t="inlineStr">
        <is>
          <t>Grupo</t>
        </is>
      </c>
      <c r="B12" s="8" t="inlineStr">
        <is>
          <t>Faixa</t>
        </is>
      </c>
      <c r="C12" s="8" t="inlineStr">
        <is>
          <t>Qtd.</t>
        </is>
      </c>
      <c r="D12" s="8" t="inlineStr">
        <is>
          <t>% da base</t>
        </is>
      </c>
      <c r="E12" s="9" t="n"/>
      <c r="F12" s="8" t="inlineStr">
        <is>
          <t>Bloco</t>
        </is>
      </c>
      <c r="G12" s="8" t="inlineStr">
        <is>
          <t>Peso</t>
        </is>
      </c>
      <c r="H12" s="8" t="inlineStr">
        <is>
          <t>Média</t>
        </is>
      </c>
    </row>
    <row r="13" ht="24" customHeight="1">
      <c r="A13" s="10" t="inlineStr">
        <is>
          <t>Promotores</t>
        </is>
      </c>
      <c r="B13" s="10" t="inlineStr">
        <is>
          <t>Notas 9-10</t>
        </is>
      </c>
      <c r="C13" s="10">
        <f>COUNTIFS('Base automática'!Q:Q,"&gt;=9")</f>
        <v/>
      </c>
      <c r="D13" s="11">
        <f>IFERROR(C13/SUM($C$13:$C$15),0)</f>
        <v/>
      </c>
      <c r="F13" s="10" t="inlineStr">
        <is>
          <t>Relacionamento e Satisfação</t>
        </is>
      </c>
      <c r="G13" s="10" t="inlineStr">
        <is>
          <t>25%</t>
        </is>
      </c>
      <c r="H13" s="10">
        <f>IFERROR(AVERAGE('Base automática'!Q:Q),"")</f>
        <v/>
      </c>
    </row>
    <row r="14" ht="24" customHeight="1">
      <c r="A14" s="10" t="inlineStr">
        <is>
          <t>Neutros</t>
        </is>
      </c>
      <c r="B14" s="10" t="inlineStr">
        <is>
          <t>Notas 7-8</t>
        </is>
      </c>
      <c r="C14" s="10">
        <f>COUNTIFS('Base automática'!Q:Q,"&gt;=7",'Base automática'!Q:Q,"&lt;=8")</f>
        <v/>
      </c>
      <c r="D14" s="11">
        <f>IFERROR(C14/SUM($C$13:$C$15),0)</f>
        <v/>
      </c>
      <c r="F14" s="10" t="inlineStr">
        <is>
          <t>Percepção de Valor</t>
        </is>
      </c>
      <c r="G14" s="10" t="inlineStr">
        <is>
          <t>25%</t>
        </is>
      </c>
      <c r="H14" s="10">
        <f>IFERROR(SUM('Base automática'!T:X)/COUNT('Base automática'!T:X),"")</f>
        <v/>
      </c>
    </row>
    <row r="15" ht="24" customHeight="1">
      <c r="A15" s="10" t="inlineStr">
        <is>
          <t>Detratores</t>
        </is>
      </c>
      <c r="B15" s="10" t="inlineStr">
        <is>
          <t>Notas 1-6</t>
        </is>
      </c>
      <c r="C15" s="10">
        <f>COUNTIFS('Base automática'!Q:Q,"&lt;=6")</f>
        <v/>
      </c>
      <c r="D15" s="11">
        <f>IFERROR(C15/SUM($C$13:$C$15),0)</f>
        <v/>
      </c>
      <c r="F15" s="10" t="inlineStr">
        <is>
          <t>Qualidade Operacional</t>
        </is>
      </c>
      <c r="G15" s="10" t="inlineStr">
        <is>
          <t>25%</t>
        </is>
      </c>
      <c r="H15" s="10">
        <f>IFERROR(SUM('Base automática'!Y:AC)/COUNT('Base automática'!Y:AC),"")</f>
        <v/>
      </c>
    </row>
    <row r="16" ht="24" customHeight="1">
      <c r="A16" s="10" t="inlineStr">
        <is>
          <t>Fórmula</t>
        </is>
      </c>
      <c r="B16" s="10" t="inlineStr">
        <is>
          <t>Promotores - Detratores</t>
        </is>
      </c>
      <c r="C16" s="10" t="inlineStr"/>
      <c r="D16" s="11">
        <f>IFERROR(D13-D15,0)</f>
        <v/>
      </c>
      <c r="F16" s="10" t="inlineStr">
        <is>
          <t>Inovação, Transformação e Futuro</t>
        </is>
      </c>
      <c r="G16" s="10" t="inlineStr">
        <is>
          <t>25%</t>
        </is>
      </c>
      <c r="H16" s="10">
        <f>IFERROR(SUM('Base automática'!AD:AE)/COUNT('Base automática'!AD:AE),"")</f>
        <v/>
      </c>
    </row>
    <row r="17" ht="24" customHeight="1"/>
    <row r="18" ht="24" customHeight="1"/>
    <row r="19" ht="24" customHeight="1">
      <c r="A19" s="7" t="inlineStr">
        <is>
          <t>Fluxo SharePoint/OneDrive</t>
        </is>
      </c>
    </row>
    <row r="20" ht="24" customHeight="1">
      <c r="A20" s="12" t="inlineStr">
        <is>
          <t>1. Subir este arquivo no SharePoint/OneDrive da empresa.</t>
        </is>
      </c>
    </row>
    <row r="21" ht="24" customHeight="1">
      <c r="A21" s="12" t="inlineStr">
        <is>
          <t>2. Manter a aba Base automática como destino da integração.</t>
        </is>
      </c>
    </row>
    <row r="22" ht="24" customHeight="1">
      <c r="A22" s="12" t="inlineStr">
        <is>
          <t>3. A plataforma NPS grava respostas no Supabase e atualiza a planilha via Microsoft Graph API.</t>
        </is>
      </c>
    </row>
    <row r="23" ht="24" customHeight="1">
      <c r="A23" s="12" t="inlineStr">
        <is>
          <t>4. O time pode criar análises manuais em novas abas sem alterar a Base automática.</t>
        </is>
      </c>
    </row>
    <row r="24" ht="24" customHeight="1">
      <c r="A24" s="12" t="inlineStr">
        <is>
          <t>5. Heatmaps e replays continuam no Microsoft Clarity; a planilha recebe apenas link opcional quando houver análise manual.</t>
        </is>
      </c>
    </row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/>
    <row r="32" ht="24" customHeight="1"/>
    <row r="33" ht="24" customHeight="1"/>
    <row r="34" ht="24" customHeight="1"/>
  </sheetData>
  <mergeCells count="22">
    <mergeCell ref="A24:H24"/>
    <mergeCell ref="A1:H1"/>
    <mergeCell ref="G8:H8"/>
    <mergeCell ref="A7:B7"/>
    <mergeCell ref="G7:H7"/>
    <mergeCell ref="A11:D11"/>
    <mergeCell ref="A21:H21"/>
    <mergeCell ref="D7:E7"/>
    <mergeCell ref="A2:H2"/>
    <mergeCell ref="A5:B5"/>
    <mergeCell ref="G5:H5"/>
    <mergeCell ref="D4:E4"/>
    <mergeCell ref="A23:H23"/>
    <mergeCell ref="A8:B8"/>
    <mergeCell ref="F11:H11"/>
    <mergeCell ref="A22:H22"/>
    <mergeCell ref="A4:B4"/>
    <mergeCell ref="G4:H4"/>
    <mergeCell ref="D8:E8"/>
    <mergeCell ref="A20:H20"/>
    <mergeCell ref="D5:E5"/>
    <mergeCell ref="A19:H19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  <col width="16" customWidth="1" min="4" max="4"/>
    <col width="14" customWidth="1" min="5" max="5"/>
    <col width="22" customWidth="1" min="6" max="6"/>
    <col width="26" customWidth="1" min="7" max="7"/>
    <col width="24" customWidth="1" min="8" max="8"/>
    <col width="28" customWidth="1" min="9" max="9"/>
    <col width="22" customWidth="1" min="10" max="10"/>
    <col width="26" customWidth="1" min="11" max="11"/>
    <col width="18" customWidth="1" min="12" max="12"/>
    <col width="18" customWidth="1" min="13" max="13"/>
    <col width="18" customWidth="1" min="14" max="14"/>
    <col width="16" customWidth="1" min="15" max="15"/>
    <col width="16" customWidth="1" min="16" max="16"/>
    <col width="16" customWidth="1" min="17" max="17"/>
    <col width="18" customWidth="1" min="18" max="18"/>
    <col width="38" customWidth="1" min="19" max="19"/>
    <col width="18" customWidth="1" min="20" max="20"/>
    <col width="22" customWidth="1" min="21" max="21"/>
    <col width="18" customWidth="1" min="22" max="22"/>
    <col width="22" customWidth="1" min="23" max="23"/>
    <col width="22" customWidth="1" min="24" max="24"/>
    <col width="18" customWidth="1" min="25" max="25"/>
    <col width="18" customWidth="1" min="26" max="26"/>
    <col width="20" customWidth="1" min="27" max="27"/>
    <col width="20" customWidth="1" min="28" max="28"/>
    <col width="20" customWidth="1" min="29" max="29"/>
    <col width="24" customWidth="1" min="30" max="30"/>
    <col width="26" customWidth="1" min="31" max="31"/>
    <col width="34" customWidth="1" min="32" max="32"/>
    <col width="34" customWidth="1" min="33" max="33"/>
    <col width="34" customWidth="1" min="34" max="34"/>
    <col width="18" customWidth="1" min="35" max="35"/>
    <col width="20" customWidth="1" min="36" max="36"/>
    <col width="18" customWidth="1" min="37" max="37"/>
    <col width="16" customWidth="1" min="38" max="38"/>
    <col width="20" customWidth="1" min="39" max="39"/>
    <col width="32" customWidth="1" min="40" max="40"/>
    <col width="24" customWidth="1" min="41" max="41"/>
    <col width="18" customWidth="1" min="42" max="42"/>
    <col width="34" customWidth="1" min="43" max="43"/>
    <col width="32" customWidth="1" min="44" max="44"/>
    <col width="18" customWidth="1" min="45" max="45"/>
  </cols>
  <sheetData>
    <row r="1" ht="42" customHeight="1">
      <c r="A1" s="8" t="inlineStr">
        <is>
          <t>ID resposta</t>
        </is>
      </c>
      <c r="B1" s="8" t="inlineStr">
        <is>
          <t>Data de resposta</t>
        </is>
      </c>
      <c r="C1" s="8" t="inlineStr">
        <is>
          <t>Campanha</t>
        </is>
      </c>
      <c r="D1" s="8" t="inlineStr">
        <is>
          <t>Status</t>
        </is>
      </c>
      <c r="E1" s="8" t="inlineStr">
        <is>
          <t>Fonte</t>
        </is>
      </c>
      <c r="F1" s="8" t="inlineStr">
        <is>
          <t>Token / sessão</t>
        </is>
      </c>
      <c r="G1" s="8" t="inlineStr">
        <is>
          <t>Empresa</t>
        </is>
      </c>
      <c r="H1" s="8" t="inlineStr">
        <is>
          <t>Nome</t>
        </is>
      </c>
      <c r="I1" s="8" t="inlineStr">
        <is>
          <t>E-mail corporativo</t>
        </is>
      </c>
      <c r="J1" s="8" t="inlineStr">
        <is>
          <t>Cargo</t>
        </is>
      </c>
      <c r="K1" s="8" t="inlineStr">
        <is>
          <t>Responsável Prime Control</t>
        </is>
      </c>
      <c r="L1" s="8" t="inlineStr">
        <is>
          <t>Início</t>
        </is>
      </c>
      <c r="M1" s="8" t="inlineStr">
        <is>
          <t>Conclusão</t>
        </is>
      </c>
      <c r="N1" s="8" t="inlineStr">
        <is>
          <t>Tempo de conclusão (min)</t>
        </is>
      </c>
      <c r="O1" s="8" t="inlineStr">
        <is>
          <t>Dispositivo</t>
        </is>
      </c>
      <c r="P1" s="8" t="inlineStr">
        <is>
          <t>Navegador</t>
        </is>
      </c>
      <c r="Q1" s="8" t="inlineStr">
        <is>
          <t>Nota NPS (1 a 10)</t>
        </is>
      </c>
      <c r="R1" s="8" t="inlineStr">
        <is>
          <t>Classificação NPS</t>
        </is>
      </c>
      <c r="S1" s="8" t="inlineStr">
        <is>
          <t>Motivo da nota</t>
        </is>
      </c>
      <c r="T1" s="8" t="inlineStr">
        <is>
          <t>Entendimento do negócio</t>
        </is>
      </c>
      <c r="U1" s="8" t="inlineStr">
        <is>
          <t>Relevância das soluções entregues</t>
        </is>
      </c>
      <c r="V1" s="8" t="inlineStr">
        <is>
          <t>Valor percebido</t>
        </is>
      </c>
      <c r="W1" s="8" t="inlineStr">
        <is>
          <t>Comprometimento com resultados</t>
        </is>
      </c>
      <c r="X1" s="8" t="inlineStr">
        <is>
          <t>Engajamento na solução de problemas</t>
        </is>
      </c>
      <c r="Y1" s="8" t="inlineStr">
        <is>
          <t>Qualidade das entregas</t>
        </is>
      </c>
      <c r="Z1" s="8" t="inlineStr">
        <is>
          <t>Cumprimento dos prazos</t>
        </is>
      </c>
      <c r="AA1" s="8" t="inlineStr">
        <is>
          <t>Clareza e objetividade</t>
        </is>
      </c>
      <c r="AB1" s="8" t="inlineStr">
        <is>
          <t>Tempo de resposta da equipe</t>
        </is>
      </c>
      <c r="AC1" s="8" t="inlineStr">
        <is>
          <t>Qualidade do atendimento</t>
        </is>
      </c>
      <c r="AD1" s="8" t="inlineStr">
        <is>
          <t>Empresa inovadora e alinhada ao mercado</t>
        </is>
      </c>
      <c r="AE1" s="8" t="inlineStr">
        <is>
          <t>Antecipar tendências e propor soluções</t>
        </is>
      </c>
      <c r="AF1" s="8" t="inlineStr">
        <is>
          <t>Áreas para investir mais em inovação</t>
        </is>
      </c>
      <c r="AG1" s="8" t="inlineStr">
        <is>
          <t>Expectativa sobre parceria estratégica</t>
        </is>
      </c>
      <c r="AH1" s="8" t="inlineStr">
        <is>
          <t>Iniciativas/melhorias para gerar mais valor</t>
        </is>
      </c>
      <c r="AI1" s="8" t="inlineStr">
        <is>
          <t>Perguntas respondidas</t>
        </is>
      </c>
      <c r="AJ1" s="8" t="inlineStr">
        <is>
          <t>Campos abertos preenchidos</t>
        </is>
      </c>
      <c r="AK1" s="8" t="inlineStr">
        <is>
          <t>Etapa abandonada</t>
        </is>
      </c>
      <c r="AL1" s="8" t="inlineStr">
        <is>
          <t>Sinal de risco</t>
        </is>
      </c>
      <c r="AM1" s="8" t="inlineStr">
        <is>
          <t>Status de follow-up</t>
        </is>
      </c>
      <c r="AN1" s="8" t="inlineStr">
        <is>
          <t>Próxima ação</t>
        </is>
      </c>
      <c r="AO1" s="8" t="inlineStr">
        <is>
          <t>Responsável follow-up</t>
        </is>
      </c>
      <c r="AP1" s="8" t="inlineStr">
        <is>
          <t>Data follow-up</t>
        </is>
      </c>
      <c r="AQ1" s="8" t="inlineStr">
        <is>
          <t>Observações internas</t>
        </is>
      </c>
      <c r="AR1" s="8" t="inlineStr">
        <is>
          <t>Link replay Clarity (opcional)</t>
        </is>
      </c>
      <c r="AS1" s="8" t="inlineStr">
        <is>
          <t>Última atualização</t>
        </is>
      </c>
    </row>
  </sheetData>
  <autoFilter ref="A1:AS1"/>
  <conditionalFormatting sqref="Q2:Q5000">
    <cfRule type="cellIs" priority="1" operator="lessThanOrEqual" dxfId="0">
      <formula>6</formula>
    </cfRule>
    <cfRule type="cellIs" priority="2" operator="between" dxfId="1">
      <formula>7</formula>
      <formula>8</formula>
    </cfRule>
    <cfRule type="cellIs" priority="3" operator="greaterThanOrEqual" dxfId="2">
      <formula>9</formula>
    </cfRule>
  </conditionalFormatting>
  <dataValidations count="5">
    <dataValidation sqref="D2:D5000" showDropDown="0" showInputMessage="0" showErrorMessage="0" allowBlank="1" type="list">
      <formula1>"Convidado,Iniciado,Em andamento,Concluído,Abandonado"</formula1>
    </dataValidation>
    <dataValidation sqref="Q2:Q5000" showDropDown="0" showInputMessage="0" showErrorMessage="0" allowBlank="1" type="list">
      <formula1>"1,2,3,4,5,6,7,8,9,10"</formula1>
    </dataValidation>
    <dataValidation sqref="R2:R5000" showDropDown="0" showInputMessage="0" showErrorMessage="0" allowBlank="1" type="list">
      <formula1>"Promotor,Neutro,Detrator"</formula1>
    </dataValidation>
    <dataValidation sqref="AL2:AL5000" showDropDown="0" showInputMessage="0" showErrorMessage="0" allowBlank="1" type="list">
      <formula1>"Normal,Silencioso,Médio,Alto"</formula1>
    </dataValidation>
    <dataValidation sqref="AM2:AM5000" showDropDown="0" showInputMessage="0" showErrorMessage="0" allowBlank="1" type="list">
      <formula1>"Pendente,Em andamento,Concluído,Não se aplica"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92" customWidth="1" min="2" max="2"/>
  </cols>
  <sheetData>
    <row r="1">
      <c r="A1" s="13" t="inlineStr">
        <is>
          <t>Configurações da integração</t>
        </is>
      </c>
    </row>
    <row r="3">
      <c r="A3" s="8" t="inlineStr">
        <is>
          <t>Item</t>
        </is>
      </c>
      <c r="B3" s="8" t="inlineStr">
        <is>
          <t>Definição recomendada</t>
        </is>
      </c>
    </row>
    <row r="4">
      <c r="A4" s="10" t="inlineStr">
        <is>
          <t>Arquivo</t>
        </is>
      </c>
      <c r="B4" s="10" t="inlineStr">
        <is>
          <t>Respostas NPS 2026</t>
        </is>
      </c>
    </row>
    <row r="5">
      <c r="A5" s="10" t="inlineStr">
        <is>
          <t>Local</t>
        </is>
      </c>
      <c r="B5" s="10" t="inlineStr">
        <is>
          <t>SharePoint/OneDrive corporativo</t>
        </is>
      </c>
    </row>
    <row r="6">
      <c r="A6" s="10" t="inlineStr">
        <is>
          <t>Aba de destino</t>
        </is>
      </c>
      <c r="B6" s="10" t="inlineStr">
        <is>
          <t>Base automática</t>
        </is>
      </c>
    </row>
    <row r="7">
      <c r="A7" s="10" t="inlineStr">
        <is>
          <t>Sistema de origem</t>
        </is>
      </c>
      <c r="B7" s="10" t="inlineStr">
        <is>
          <t>Plataforma NPS Prime Control</t>
        </is>
      </c>
    </row>
    <row r="8">
      <c r="A8" s="10" t="inlineStr">
        <is>
          <t>Banco de origem</t>
        </is>
      </c>
      <c r="B8" s="10" t="inlineStr">
        <is>
          <t>Supabase</t>
        </is>
      </c>
    </row>
    <row r="9">
      <c r="A9" s="10" t="inlineStr">
        <is>
          <t>Integração</t>
        </is>
      </c>
      <c r="B9" s="10" t="inlineStr">
        <is>
          <t>Microsoft Graph API</t>
        </is>
      </c>
    </row>
    <row r="10">
      <c r="A10" s="10" t="inlineStr">
        <is>
          <t>Atualização</t>
        </is>
      </c>
      <c r="B10" s="10" t="inlineStr">
        <is>
          <t>Automática a cada resposta concluída e sob demanda no dashboard</t>
        </is>
      </c>
    </row>
    <row r="11">
      <c r="A11" s="10" t="inlineStr">
        <is>
          <t>Regra de segurança</t>
        </is>
      </c>
      <c r="B11" s="10" t="inlineStr">
        <is>
          <t>Não enviar senha ou dado sensível; usar app autorizado no Microsoft Entra ID</t>
        </is>
      </c>
    </row>
    <row r="12">
      <c r="A12" s="10" t="inlineStr">
        <is>
          <t>Clarity</t>
        </is>
      </c>
      <c r="B12" s="10" t="inlineStr">
        <is>
          <t>Usado para heatmaps e replay; link pode ser registrado manualmente quando necessário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72" customWidth="1" min="2" max="2"/>
    <col width="18" customWidth="1" min="3" max="3"/>
    <col width="14" customWidth="1" min="4" max="4"/>
  </cols>
  <sheetData>
    <row r="1">
      <c r="A1" s="13" t="inlineStr">
        <is>
          <t>Dicionário de dados</t>
        </is>
      </c>
    </row>
    <row r="3">
      <c r="A3" s="8" t="inlineStr">
        <is>
          <t>Campo</t>
        </is>
      </c>
      <c r="B3" s="8" t="inlineStr">
        <is>
          <t>Descrição</t>
        </is>
      </c>
      <c r="C3" s="8" t="inlineStr">
        <is>
          <t>Origem</t>
        </is>
      </c>
      <c r="D3" s="8" t="inlineStr">
        <is>
          <t>Editável?</t>
        </is>
      </c>
    </row>
    <row r="4">
      <c r="A4" s="10" t="inlineStr">
        <is>
          <t>ID resposta</t>
        </is>
      </c>
      <c r="B4" s="10" t="inlineStr">
        <is>
          <t>Identificador único da resposta.</t>
        </is>
      </c>
      <c r="C4" s="10" t="inlineStr">
        <is>
          <t>Sistema</t>
        </is>
      </c>
      <c r="D4" s="10" t="inlineStr">
        <is>
          <t>Não</t>
        </is>
      </c>
    </row>
    <row r="5">
      <c r="A5" s="10" t="inlineStr">
        <is>
          <t>Data de resposta</t>
        </is>
      </c>
      <c r="B5" s="10" t="inlineStr">
        <is>
          <t>Data/hora de conclusão da pesquisa.</t>
        </is>
      </c>
      <c r="C5" s="10" t="inlineStr">
        <is>
          <t>Sistema</t>
        </is>
      </c>
      <c r="D5" s="10" t="inlineStr">
        <is>
          <t>Não</t>
        </is>
      </c>
    </row>
    <row r="6">
      <c r="A6" s="10" t="inlineStr">
        <is>
          <t>Campanha</t>
        </is>
      </c>
      <c r="B6" s="10" t="inlineStr">
        <is>
          <t>Nome da campanha vigente.</t>
        </is>
      </c>
      <c r="C6" s="10" t="inlineStr">
        <is>
          <t>Sistema</t>
        </is>
      </c>
      <c r="D6" s="10" t="inlineStr">
        <is>
          <t>Não</t>
        </is>
      </c>
    </row>
    <row r="7">
      <c r="A7" s="10" t="inlineStr">
        <is>
          <t>Status</t>
        </is>
      </c>
      <c r="B7" s="10" t="inlineStr">
        <is>
          <t>Convidado, Iniciado, Em andamento, Concluído ou Abandonado.</t>
        </is>
      </c>
      <c r="C7" s="10" t="inlineStr">
        <is>
          <t>Sistema</t>
        </is>
      </c>
      <c r="D7" s="10" t="inlineStr">
        <is>
          <t>Não</t>
        </is>
      </c>
    </row>
    <row r="8">
      <c r="A8" s="10" t="inlineStr">
        <is>
          <t>Fonte</t>
        </is>
      </c>
      <c r="B8" s="10" t="inlineStr">
        <is>
          <t>Origem do acesso: e-mail, lembrete, manual ou outro canal.</t>
        </is>
      </c>
      <c r="C8" s="10" t="inlineStr">
        <is>
          <t>Sistema</t>
        </is>
      </c>
      <c r="D8" s="10" t="inlineStr">
        <is>
          <t>Não</t>
        </is>
      </c>
    </row>
    <row r="9">
      <c r="A9" s="10" t="inlineStr">
        <is>
          <t>Token / sessão</t>
        </is>
      </c>
      <c r="B9" s="10" t="inlineStr">
        <is>
          <t>Identificador técnico da sessão, sem expor senha ou login.</t>
        </is>
      </c>
      <c r="C9" s="10" t="inlineStr">
        <is>
          <t>Sistema</t>
        </is>
      </c>
      <c r="D9" s="10" t="inlineStr">
        <is>
          <t>Não</t>
        </is>
      </c>
    </row>
    <row r="10">
      <c r="A10" s="10" t="inlineStr">
        <is>
          <t>Empresa</t>
        </is>
      </c>
      <c r="B10" s="10" t="inlineStr">
        <is>
          <t>Cliente respondente.</t>
        </is>
      </c>
      <c r="C10" s="10" t="inlineStr">
        <is>
          <t>Pesquisa</t>
        </is>
      </c>
      <c r="D10" s="10" t="inlineStr">
        <is>
          <t>Não</t>
        </is>
      </c>
    </row>
    <row r="11">
      <c r="A11" s="10" t="inlineStr">
        <is>
          <t>Nome</t>
        </is>
      </c>
      <c r="B11" s="10" t="inlineStr">
        <is>
          <t>Nome do contato respondente.</t>
        </is>
      </c>
      <c r="C11" s="10" t="inlineStr">
        <is>
          <t>Pesquisa</t>
        </is>
      </c>
      <c r="D11" s="10" t="inlineStr">
        <is>
          <t>Não</t>
        </is>
      </c>
    </row>
    <row r="12">
      <c r="A12" s="10" t="inlineStr">
        <is>
          <t>E-mail corporativo</t>
        </is>
      </c>
      <c r="B12" s="10" t="inlineStr">
        <is>
          <t>E-mail corporativo validado no formulário.</t>
        </is>
      </c>
      <c r="C12" s="10" t="inlineStr">
        <is>
          <t>Pesquisa</t>
        </is>
      </c>
      <c r="D12" s="10" t="inlineStr">
        <is>
          <t>Não</t>
        </is>
      </c>
    </row>
    <row r="13">
      <c r="A13" s="10" t="inlineStr">
        <is>
          <t>Cargo</t>
        </is>
      </c>
      <c r="B13" s="10" t="inlineStr">
        <is>
          <t>Cargo informado pelo respondente.</t>
        </is>
      </c>
      <c r="C13" s="10" t="inlineStr">
        <is>
          <t>Pesquisa</t>
        </is>
      </c>
      <c r="D13" s="10" t="inlineStr">
        <is>
          <t>Não</t>
        </is>
      </c>
    </row>
    <row r="14">
      <c r="A14" s="10" t="inlineStr">
        <is>
          <t>Responsável Prime Control</t>
        </is>
      </c>
      <c r="B14" s="10" t="inlineStr">
        <is>
          <t>Pessoa interna responsável pelo relacionamento.</t>
        </is>
      </c>
      <c r="C14" s="10" t="inlineStr">
        <is>
          <t>Manual interno</t>
        </is>
      </c>
      <c r="D14" s="10" t="inlineStr">
        <is>
          <t>Sim</t>
        </is>
      </c>
    </row>
    <row r="15">
      <c r="A15" s="10" t="inlineStr">
        <is>
          <t>Nota NPS (1 a 10)</t>
        </is>
      </c>
      <c r="B15" s="10" t="inlineStr">
        <is>
          <t>Nota da pergunta de recomendação.</t>
        </is>
      </c>
      <c r="C15" s="10" t="inlineStr">
        <is>
          <t>Pesquisa</t>
        </is>
      </c>
      <c r="D15" s="10" t="inlineStr">
        <is>
          <t>Não</t>
        </is>
      </c>
    </row>
    <row r="16">
      <c r="A16" s="10" t="inlineStr">
        <is>
          <t>Classificação NPS</t>
        </is>
      </c>
      <c r="B16" s="10" t="inlineStr">
        <is>
          <t>Promotor, Neutro ou Detrator, calculado pela nota.</t>
        </is>
      </c>
      <c r="C16" s="10" t="inlineStr">
        <is>
          <t>Sistema</t>
        </is>
      </c>
      <c r="D16" s="10" t="inlineStr">
        <is>
          <t>Não</t>
        </is>
      </c>
    </row>
    <row r="17">
      <c r="A17" s="10" t="inlineStr">
        <is>
          <t>Motivo da nota</t>
        </is>
      </c>
      <c r="B17" s="10" t="inlineStr">
        <is>
          <t>Resposta aberta sobre o motivo da nota.</t>
        </is>
      </c>
      <c r="C17" s="10" t="inlineStr">
        <is>
          <t>Pesquisa</t>
        </is>
      </c>
      <c r="D17" s="10" t="inlineStr">
        <is>
          <t>Não</t>
        </is>
      </c>
    </row>
    <row r="18">
      <c r="A18" s="10" t="inlineStr">
        <is>
          <t>Perguntas respondidas</t>
        </is>
      </c>
      <c r="B18" s="10" t="inlineStr">
        <is>
          <t>Quantidade de respostas preenchidas.</t>
        </is>
      </c>
      <c r="C18" s="10" t="inlineStr">
        <is>
          <t>Sistema</t>
        </is>
      </c>
      <c r="D18" s="10" t="inlineStr">
        <is>
          <t>Não</t>
        </is>
      </c>
    </row>
    <row r="19">
      <c r="A19" s="10" t="inlineStr">
        <is>
          <t>Campos abertos preenchidos</t>
        </is>
      </c>
      <c r="B19" s="10" t="inlineStr">
        <is>
          <t>Quantidade de comentários abertos preenchidos.</t>
        </is>
      </c>
      <c r="C19" s="10" t="inlineStr">
        <is>
          <t>Sistema</t>
        </is>
      </c>
      <c r="D19" s="10" t="inlineStr">
        <is>
          <t>Não</t>
        </is>
      </c>
    </row>
    <row r="20">
      <c r="A20" s="10" t="inlineStr">
        <is>
          <t>Etapa abandonada</t>
        </is>
      </c>
      <c r="B20" s="10" t="inlineStr">
        <is>
          <t>Última etapa registrada em caso de abandono.</t>
        </is>
      </c>
      <c r="C20" s="10" t="inlineStr">
        <is>
          <t>Sistema</t>
        </is>
      </c>
      <c r="D20" s="10" t="inlineStr">
        <is>
          <t>Não</t>
        </is>
      </c>
    </row>
    <row r="21">
      <c r="A21" s="10" t="inlineStr">
        <is>
          <t>Sinal de risco</t>
        </is>
      </c>
      <c r="B21" s="10" t="inlineStr">
        <is>
          <t>Normal, Silencioso, Médio ou Alto.</t>
        </is>
      </c>
      <c r="C21" s="10" t="inlineStr">
        <is>
          <t>Sistema</t>
        </is>
      </c>
      <c r="D21" s="10" t="inlineStr">
        <is>
          <t>Não</t>
        </is>
      </c>
    </row>
    <row r="22">
      <c r="A22" s="10" t="inlineStr">
        <is>
          <t>Status de follow-up</t>
        </is>
      </c>
      <c r="B22" s="10" t="inlineStr">
        <is>
          <t>Pendente, Em andamento, Concluído ou Não se aplica.</t>
        </is>
      </c>
      <c r="C22" s="10" t="inlineStr">
        <is>
          <t>Manual interno</t>
        </is>
      </c>
      <c r="D22" s="10" t="inlineStr">
        <is>
          <t>Sim</t>
        </is>
      </c>
    </row>
    <row r="23">
      <c r="A23" s="10" t="inlineStr">
        <is>
          <t>Próxima ação</t>
        </is>
      </c>
      <c r="B23" s="10" t="inlineStr">
        <is>
          <t>Ação definida pelo time responsável.</t>
        </is>
      </c>
      <c r="C23" s="10" t="inlineStr">
        <is>
          <t>Manual interno</t>
        </is>
      </c>
      <c r="D23" s="10" t="inlineStr">
        <is>
          <t>Sim</t>
        </is>
      </c>
    </row>
    <row r="24">
      <c r="A24" s="10" t="inlineStr">
        <is>
          <t>Link replay Clarity (opcional)</t>
        </is>
      </c>
      <c r="B24" s="10" t="inlineStr">
        <is>
          <t>Link manual para replay/heatmap quando houver análise no Clarity.</t>
        </is>
      </c>
      <c r="C24" s="10" t="inlineStr">
        <is>
          <t>Manual interno</t>
        </is>
      </c>
      <c r="D24" s="10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Prime Control</dc:creator>
  <dc:title xmlns:dc="http://purl.org/dc/elements/1.1/">Prime Control - Respostas NPS 2026</dc:title>
  <dc:subject xmlns:dc="http://purl.org/dc/elements/1.1/">Modelo de planilha oficial para SharePoint/OneDrive</dc:subject>
  <dcterms:created xmlns:dcterms="http://purl.org/dc/terms/" xmlns:xsi="http://www.w3.org/2001/XMLSchema-instance" xsi:type="dcterms:W3CDTF">2026-05-23T05:21:18Z</dcterms:created>
  <dcterms:modified xmlns:dcterms="http://purl.org/dc/terms/" xmlns:xsi="http://www.w3.org/2001/XMLSchema-instance" xsi:type="dcterms:W3CDTF">2026-05-23T05:21:18Z</dcterms:modified>
</cp:coreProperties>
</file>